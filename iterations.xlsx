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ya\code\FLL-Unearthed-2025---2026\"/>
    </mc:Choice>
  </mc:AlternateContent>
  <xr:revisionPtr revIDLastSave="0" documentId="13_ncr:1_{4C727290-C3EE-459A-9FAA-AFB4486C509F}" xr6:coauthVersionLast="47" xr6:coauthVersionMax="47" xr10:uidLastSave="{00000000-0000-0000-0000-000000000000}"/>
  <bookViews>
    <workbookView xWindow="1830" yWindow="1830" windowWidth="12960" windowHeight="7824" xr2:uid="{14DBA40A-3910-463C-AF80-11027D66D5E7}"/>
  </bookViews>
  <sheets>
    <sheet name="Sheet1" sheetId="1" r:id="rId1"/>
  </sheets>
  <definedNames>
    <definedName name="BEAFOOD">Sheet1!$AGD$28</definedName>
    <definedName name="BEAFOOD1">Sheet1!$AGD$28</definedName>
    <definedName name="lol">Sheet1!$AGD$28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3" i="1" l="1"/>
  <c r="V43" i="1"/>
  <c r="T43" i="1"/>
  <c r="S42" i="1"/>
  <c r="Y42" i="1"/>
  <c r="Z42" i="1"/>
  <c r="AA42" i="1"/>
  <c r="AB42" i="1"/>
  <c r="AC42" i="1"/>
  <c r="AD42" i="1"/>
  <c r="U42" i="1"/>
  <c r="V42" i="1"/>
  <c r="W42" i="1"/>
  <c r="X42" i="1"/>
  <c r="T42" i="1"/>
  <c r="O43" i="1"/>
  <c r="D43" i="1"/>
  <c r="E43" i="1"/>
  <c r="F43" i="1"/>
  <c r="G43" i="1"/>
  <c r="H43" i="1"/>
  <c r="I43" i="1"/>
  <c r="J43" i="1"/>
  <c r="K43" i="1"/>
  <c r="L43" i="1"/>
  <c r="C43" i="1"/>
  <c r="M43" i="1"/>
  <c r="O41" i="1"/>
  <c r="AG36" i="1"/>
  <c r="O36" i="1"/>
  <c r="O42" i="1"/>
  <c r="AG40" i="1"/>
  <c r="AG39" i="1"/>
  <c r="AG38" i="1"/>
  <c r="AG37" i="1"/>
  <c r="O40" i="1"/>
  <c r="O39" i="1"/>
  <c r="O38" i="1"/>
  <c r="O37" i="1"/>
  <c r="AG32" i="1"/>
  <c r="AG31" i="1"/>
  <c r="AG30" i="1"/>
  <c r="AG29" i="1"/>
  <c r="AG28" i="1"/>
  <c r="AG27" i="1"/>
  <c r="AG26" i="1"/>
  <c r="AG25" i="1"/>
  <c r="O32" i="1"/>
  <c r="O31" i="1"/>
  <c r="O30" i="1"/>
  <c r="O29" i="1"/>
  <c r="P29" i="1" s="1"/>
  <c r="O28" i="1"/>
  <c r="P28" i="1" s="1"/>
  <c r="O27" i="1"/>
  <c r="P27" i="1" s="1"/>
  <c r="O26" i="1"/>
  <c r="P26" i="1" s="1"/>
  <c r="O25" i="1"/>
  <c r="P25" i="1" s="1"/>
  <c r="AG21" i="1"/>
  <c r="AG20" i="1"/>
  <c r="AG19" i="1"/>
  <c r="AG18" i="1"/>
  <c r="AG17" i="1"/>
  <c r="AG16" i="1"/>
  <c r="AG15" i="1"/>
  <c r="AG14" i="1"/>
  <c r="AG10" i="1"/>
  <c r="AG9" i="1"/>
  <c r="AG8" i="1"/>
  <c r="AG7" i="1"/>
  <c r="AG6" i="1"/>
  <c r="AG5" i="1"/>
  <c r="AG4" i="1"/>
  <c r="AG3" i="1"/>
  <c r="O21" i="1"/>
  <c r="O20" i="1"/>
  <c r="O19" i="1"/>
  <c r="O18" i="1"/>
  <c r="O17" i="1"/>
  <c r="O16" i="1"/>
  <c r="O15" i="1"/>
  <c r="O14" i="1"/>
  <c r="O7" i="1"/>
  <c r="O6" i="1"/>
  <c r="O4" i="1"/>
  <c r="O3" i="1"/>
  <c r="O10" i="1"/>
  <c r="O5" i="1"/>
  <c r="O8" i="1"/>
  <c r="O9" i="1"/>
</calcChain>
</file>

<file path=xl/sharedStrings.xml><?xml version="1.0" encoding="utf-8"?>
<sst xmlns="http://schemas.openxmlformats.org/spreadsheetml/2006/main" count="150" uniqueCount="13">
  <si>
    <t>Run</t>
  </si>
  <si>
    <t>Accuracy</t>
  </si>
  <si>
    <t>Average</t>
  </si>
  <si>
    <t>Precision</t>
  </si>
  <si>
    <t>Target</t>
  </si>
  <si>
    <t>NA</t>
  </si>
  <si>
    <t>Times</t>
  </si>
  <si>
    <t>OLD MISSION</t>
  </si>
  <si>
    <t>New Mission</t>
  </si>
  <si>
    <t>-</t>
  </si>
  <si>
    <t>mission pts</t>
  </si>
  <si>
    <t>Extension</t>
  </si>
  <si>
    <t>Extension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</si>
</sst>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6" fontId="0" fillId="0" borderId="0" xfId="0" applyNumberFormat="1"/>
    <xf numFmtId="2" fontId="0" fillId="0" borderId="1" xfId="0" applyNumberFormat="1" applyBorder="1"/>
    <xf numFmtId="1" fontId="0" fillId="0" borderId="2" xfId="0" applyNumberFormat="1" applyBorder="1" applyAlignment="1">
      <alignment horizontal="center"/>
    </xf>
    <xf numFmtId="2" fontId="0" fillId="0" borderId="3" xfId="0" applyNumberFormat="1" applyBorder="1"/>
    <xf numFmtId="2" fontId="0" fillId="0" borderId="11" xfId="0" applyNumberFormat="1" applyBorder="1"/>
    <xf numFmtId="1" fontId="0" fillId="0" borderId="12" xfId="0" applyNumberFormat="1" applyBorder="1" applyAlignment="1">
      <alignment horizontal="center"/>
    </xf>
    <xf numFmtId="2" fontId="0" fillId="0" borderId="5" xfId="0" applyNumberFormat="1" applyBorder="1"/>
    <xf numFmtId="1" fontId="0" fillId="0" borderId="6" xfId="0" applyNumberFormat="1" applyBorder="1" applyAlignment="1">
      <alignment horizontal="center"/>
    </xf>
    <xf numFmtId="0" fontId="0" fillId="0" borderId="13" xfId="0" applyBorder="1"/>
    <xf numFmtId="164" fontId="0" fillId="0" borderId="3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2" fontId="0" fillId="0" borderId="3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3" xfId="0" applyNumberFormat="1" applyBorder="1"/>
    <xf numFmtId="1" fontId="0" fillId="0" borderId="0" xfId="0" applyNumberFormat="1" applyAlignment="1">
      <alignment horizontal="left"/>
    </xf>
    <xf numFmtId="2" fontId="0" fillId="0" borderId="0" xfId="0" applyNumberFormat="1" applyBorder="1"/>
    <xf numFmtId="0" fontId="0" fillId="0" borderId="14" xfId="0" applyBorder="1"/>
    <xf numFmtId="0" fontId="0" fillId="0" borderId="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3256-4EE1-4A5D-A5F4-1DDD101D2B98}">
  <dimension ref="B1:AG43"/>
  <sheetViews>
    <sheetView tabSelected="1" topLeftCell="J13" zoomScale="63" zoomScaleNormal="120" workbookViewId="0">
      <selection activeCell="X44" sqref="X44"/>
    </sheetView>
  </sheetViews>
  <sheetFormatPr defaultRowHeight="14.4" x14ac:dyDescent="0.55000000000000004"/>
  <cols>
    <col min="15" max="15" width="10.3125" bestFit="1" customWidth="1"/>
  </cols>
  <sheetData>
    <row r="1" spans="2:33" ht="14.7" thickBot="1" x14ac:dyDescent="0.6">
      <c r="B1" t="s">
        <v>7</v>
      </c>
      <c r="Q1" t="s">
        <v>6</v>
      </c>
    </row>
    <row r="2" spans="2:33" ht="14.7" thickBot="1" x14ac:dyDescent="0.6">
      <c r="B2" s="5" t="s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 t="s">
        <v>4</v>
      </c>
      <c r="N2" s="1" t="s">
        <v>1</v>
      </c>
      <c r="O2" s="2" t="s">
        <v>2</v>
      </c>
      <c r="Q2" s="5" t="s">
        <v>0</v>
      </c>
      <c r="R2" s="30"/>
      <c r="S2" s="1">
        <v>1</v>
      </c>
      <c r="T2" s="1"/>
      <c r="U2" s="1">
        <v>2</v>
      </c>
      <c r="V2" s="1"/>
      <c r="W2" s="1">
        <v>3</v>
      </c>
      <c r="X2" s="1">
        <v>4</v>
      </c>
      <c r="Y2" s="1">
        <v>5</v>
      </c>
      <c r="Z2" s="1">
        <v>6</v>
      </c>
      <c r="AA2" s="1">
        <v>7</v>
      </c>
      <c r="AB2" s="1">
        <v>8</v>
      </c>
      <c r="AC2" s="1">
        <v>9</v>
      </c>
      <c r="AD2" s="1">
        <v>10</v>
      </c>
      <c r="AE2" s="1" t="s">
        <v>4</v>
      </c>
      <c r="AF2" s="1" t="s">
        <v>1</v>
      </c>
      <c r="AG2" s="2" t="s">
        <v>2</v>
      </c>
    </row>
    <row r="3" spans="2:33" x14ac:dyDescent="0.55000000000000004">
      <c r="B3" s="4">
        <v>1</v>
      </c>
      <c r="C3" s="7">
        <v>30</v>
      </c>
      <c r="D3" s="7">
        <v>30</v>
      </c>
      <c r="E3" s="7">
        <v>30</v>
      </c>
      <c r="F3" s="7"/>
      <c r="G3" s="7"/>
      <c r="H3" s="7"/>
      <c r="I3" s="7"/>
      <c r="J3" s="7"/>
      <c r="K3" s="7"/>
      <c r="L3" s="7"/>
      <c r="M3" s="7">
        <v>30</v>
      </c>
      <c r="N3" s="14">
        <v>1</v>
      </c>
      <c r="O3" s="10">
        <f t="shared" ref="O3:O10" si="0">AVERAGE(C3:E3)</f>
        <v>30</v>
      </c>
      <c r="Q3" s="4">
        <v>1</v>
      </c>
      <c r="R3" s="31"/>
      <c r="U3" s="7"/>
      <c r="V3" s="7"/>
      <c r="W3" s="7"/>
      <c r="X3" s="7"/>
      <c r="Y3" s="7"/>
      <c r="Z3" s="7"/>
      <c r="AA3" s="7"/>
      <c r="AB3" s="7"/>
      <c r="AC3" s="7"/>
      <c r="AD3" s="7"/>
      <c r="AE3" s="7">
        <v>60</v>
      </c>
      <c r="AF3" s="14" t="s">
        <v>5</v>
      </c>
      <c r="AG3" s="10" t="e">
        <f>AVERAGE(U3:W3)</f>
        <v>#DIV/0!</v>
      </c>
    </row>
    <row r="4" spans="2:33" x14ac:dyDescent="0.55000000000000004">
      <c r="B4" s="3">
        <v>2</v>
      </c>
      <c r="C4" s="6">
        <v>30</v>
      </c>
      <c r="D4" s="6">
        <v>30</v>
      </c>
      <c r="E4" s="6">
        <v>30</v>
      </c>
      <c r="F4" s="6"/>
      <c r="G4" s="6"/>
      <c r="H4" s="6"/>
      <c r="I4" s="6"/>
      <c r="J4" s="6"/>
      <c r="K4" s="6"/>
      <c r="L4" s="6"/>
      <c r="M4" s="6">
        <v>90</v>
      </c>
      <c r="N4" s="12">
        <v>1</v>
      </c>
      <c r="O4" s="13">
        <f t="shared" si="0"/>
        <v>30</v>
      </c>
      <c r="Q4" s="3">
        <v>2</v>
      </c>
      <c r="R4" s="32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12" t="s">
        <v>5</v>
      </c>
      <c r="AG4" s="13" t="e">
        <f>AVERAGE(S4:W4)</f>
        <v>#DIV/0!</v>
      </c>
    </row>
    <row r="5" spans="2:33" x14ac:dyDescent="0.55000000000000004">
      <c r="B5" s="3">
        <v>3</v>
      </c>
      <c r="C5" s="6">
        <v>0</v>
      </c>
      <c r="D5" s="6">
        <v>20</v>
      </c>
      <c r="E5" s="6">
        <v>20</v>
      </c>
      <c r="F5" s="6"/>
      <c r="G5" s="6"/>
      <c r="H5" s="6"/>
      <c r="I5" s="6"/>
      <c r="J5" s="6"/>
      <c r="K5" s="6"/>
      <c r="L5" s="6"/>
      <c r="M5" s="6">
        <v>20</v>
      </c>
      <c r="N5" s="12">
        <v>0.66666666666666663</v>
      </c>
      <c r="O5" s="13">
        <f t="shared" si="0"/>
        <v>13.333333333333334</v>
      </c>
      <c r="Q5" s="3">
        <v>3</v>
      </c>
      <c r="R5" s="32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2" t="s">
        <v>5</v>
      </c>
      <c r="AG5" s="13" t="e">
        <f>AVERAGE(S5:W5)</f>
        <v>#DIV/0!</v>
      </c>
    </row>
    <row r="6" spans="2:33" x14ac:dyDescent="0.55000000000000004">
      <c r="B6" s="3">
        <v>4</v>
      </c>
      <c r="C6" s="6">
        <v>0</v>
      </c>
      <c r="D6" s="6">
        <v>0</v>
      </c>
      <c r="E6" s="6">
        <v>0</v>
      </c>
      <c r="F6" s="6"/>
      <c r="G6" s="6"/>
      <c r="H6" s="6"/>
      <c r="I6" s="6"/>
      <c r="J6" s="6"/>
      <c r="K6" s="6"/>
      <c r="L6" s="6"/>
      <c r="M6" s="6">
        <v>0</v>
      </c>
      <c r="N6" s="12">
        <v>0</v>
      </c>
      <c r="O6" s="13">
        <f t="shared" si="0"/>
        <v>0</v>
      </c>
      <c r="Q6" s="3">
        <v>4</v>
      </c>
      <c r="R6" s="32"/>
      <c r="S6" s="6">
        <v>60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>
        <v>60</v>
      </c>
      <c r="AF6" s="12" t="s">
        <v>5</v>
      </c>
      <c r="AG6" s="13">
        <f>AVERAGE(S6:W6)</f>
        <v>60</v>
      </c>
    </row>
    <row r="7" spans="2:33" x14ac:dyDescent="0.55000000000000004">
      <c r="B7" s="3">
        <v>5</v>
      </c>
      <c r="C7" s="6">
        <v>30</v>
      </c>
      <c r="D7" s="6">
        <v>30</v>
      </c>
      <c r="E7" s="6">
        <v>30</v>
      </c>
      <c r="F7" s="6"/>
      <c r="G7" s="6"/>
      <c r="H7" s="6"/>
      <c r="I7" s="6"/>
      <c r="J7" s="6"/>
      <c r="K7" s="6"/>
      <c r="L7" s="6"/>
      <c r="M7" s="6">
        <v>30</v>
      </c>
      <c r="N7" s="12">
        <v>1</v>
      </c>
      <c r="O7" s="13">
        <f t="shared" si="0"/>
        <v>30</v>
      </c>
      <c r="Q7" s="3">
        <v>5</v>
      </c>
      <c r="R7" s="32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2" t="s">
        <v>5</v>
      </c>
      <c r="AG7" s="13" t="e">
        <f>AVERAGE(S7:W7)</f>
        <v>#DIV/0!</v>
      </c>
    </row>
    <row r="8" spans="2:33" x14ac:dyDescent="0.55000000000000004">
      <c r="B8" s="3">
        <v>6</v>
      </c>
      <c r="C8" s="6">
        <v>20</v>
      </c>
      <c r="D8" s="6">
        <v>30</v>
      </c>
      <c r="E8" s="6">
        <v>30</v>
      </c>
      <c r="F8" s="6"/>
      <c r="G8" s="6"/>
      <c r="H8" s="6"/>
      <c r="I8" s="6"/>
      <c r="J8" s="6"/>
      <c r="K8" s="6"/>
      <c r="L8" s="6"/>
      <c r="M8" s="6">
        <v>40</v>
      </c>
      <c r="N8" s="12">
        <v>0.66666666666666663</v>
      </c>
      <c r="O8" s="13">
        <f t="shared" si="0"/>
        <v>26.666666666666668</v>
      </c>
      <c r="Q8" s="3">
        <v>6</v>
      </c>
      <c r="R8" s="32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2" t="s">
        <v>5</v>
      </c>
      <c r="AG8" s="13" t="e">
        <f>AVERAGE(S8:W8)</f>
        <v>#DIV/0!</v>
      </c>
    </row>
    <row r="9" spans="2:33" ht="14.7" thickBot="1" x14ac:dyDescent="0.6">
      <c r="B9" s="8">
        <v>7</v>
      </c>
      <c r="C9" s="9">
        <v>20</v>
      </c>
      <c r="D9" s="9">
        <v>50</v>
      </c>
      <c r="E9" s="9">
        <v>50</v>
      </c>
      <c r="F9" s="9"/>
      <c r="G9" s="9"/>
      <c r="H9" s="9"/>
      <c r="I9" s="9"/>
      <c r="J9" s="9"/>
      <c r="K9" s="9"/>
      <c r="L9" s="9"/>
      <c r="M9" s="9">
        <v>50</v>
      </c>
      <c r="N9" s="15">
        <v>0.66666666666666663</v>
      </c>
      <c r="O9" s="16">
        <f t="shared" si="0"/>
        <v>40</v>
      </c>
      <c r="Q9" s="8">
        <v>7</v>
      </c>
      <c r="R9" s="33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5" t="s">
        <v>5</v>
      </c>
      <c r="AG9" s="16" t="e">
        <f>AVERAGE(S9:W9)</f>
        <v>#DIV/0!</v>
      </c>
    </row>
    <row r="10" spans="2:33" ht="14.7" thickBot="1" x14ac:dyDescent="0.6">
      <c r="B10" s="5" t="s">
        <v>3</v>
      </c>
      <c r="C10" s="1">
        <v>50</v>
      </c>
      <c r="D10" s="1">
        <v>35</v>
      </c>
      <c r="E10" s="1">
        <v>50</v>
      </c>
      <c r="F10" s="1"/>
      <c r="G10" s="1"/>
      <c r="H10" s="1"/>
      <c r="I10" s="1"/>
      <c r="J10" s="1"/>
      <c r="K10" s="1"/>
      <c r="L10" s="1"/>
      <c r="M10" s="1">
        <v>50</v>
      </c>
      <c r="N10" s="17">
        <v>0.66666666666666696</v>
      </c>
      <c r="O10" s="18">
        <f t="shared" si="0"/>
        <v>45</v>
      </c>
      <c r="Q10" s="5" t="s">
        <v>3</v>
      </c>
      <c r="R10" s="30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7" t="s">
        <v>5</v>
      </c>
      <c r="AG10" s="18" t="e">
        <f>AVERAGE(S10:W10)</f>
        <v>#DIV/0!</v>
      </c>
    </row>
    <row r="12" spans="2:33" ht="14.7" thickBot="1" x14ac:dyDescent="0.6">
      <c r="B12" t="s">
        <v>8</v>
      </c>
      <c r="D12" s="11">
        <v>46037</v>
      </c>
    </row>
    <row r="13" spans="2:33" ht="14.7" thickBot="1" x14ac:dyDescent="0.6">
      <c r="B13" s="5" t="s">
        <v>0</v>
      </c>
      <c r="C13" s="1">
        <v>1</v>
      </c>
      <c r="D13" s="1">
        <v>2</v>
      </c>
      <c r="E13" s="1">
        <v>3</v>
      </c>
      <c r="F13" s="1">
        <v>4</v>
      </c>
      <c r="G13" s="1">
        <v>5</v>
      </c>
      <c r="H13" s="1">
        <v>6</v>
      </c>
      <c r="I13" s="1">
        <v>7</v>
      </c>
      <c r="J13" s="1">
        <v>8</v>
      </c>
      <c r="K13" s="1">
        <v>9</v>
      </c>
      <c r="L13" s="1">
        <v>10</v>
      </c>
      <c r="M13" s="1" t="s">
        <v>4</v>
      </c>
      <c r="N13" s="1" t="s">
        <v>1</v>
      </c>
      <c r="O13" s="2" t="s">
        <v>2</v>
      </c>
      <c r="Q13" s="5" t="s">
        <v>0</v>
      </c>
      <c r="R13" s="30"/>
      <c r="S13" s="1">
        <v>1</v>
      </c>
      <c r="T13" s="1"/>
      <c r="U13" s="1">
        <v>2</v>
      </c>
      <c r="V13" s="1"/>
      <c r="W13" s="1">
        <v>3</v>
      </c>
      <c r="X13" s="1">
        <v>4</v>
      </c>
      <c r="Y13" s="1">
        <v>5</v>
      </c>
      <c r="Z13" s="1">
        <v>6</v>
      </c>
      <c r="AA13" s="1">
        <v>7</v>
      </c>
      <c r="AB13" s="1">
        <v>8</v>
      </c>
      <c r="AC13" s="1">
        <v>9</v>
      </c>
      <c r="AD13" s="1">
        <v>10</v>
      </c>
      <c r="AE13" s="1" t="s">
        <v>4</v>
      </c>
      <c r="AF13" s="1" t="s">
        <v>1</v>
      </c>
      <c r="AG13" s="2" t="s">
        <v>2</v>
      </c>
    </row>
    <row r="14" spans="2:33" x14ac:dyDescent="0.55000000000000004">
      <c r="B14" s="4">
        <v>1</v>
      </c>
      <c r="C14" s="22">
        <v>60</v>
      </c>
      <c r="D14" s="20">
        <v>10</v>
      </c>
      <c r="E14" s="7"/>
      <c r="F14" s="7"/>
      <c r="G14" s="7"/>
      <c r="H14" s="7"/>
      <c r="I14" s="7"/>
      <c r="J14" s="7"/>
      <c r="K14" s="7"/>
      <c r="L14" s="7"/>
      <c r="M14" s="7">
        <v>60</v>
      </c>
      <c r="N14" s="14" t="s">
        <v>5</v>
      </c>
      <c r="O14" s="10">
        <f>AVERAGE(D14:E14)</f>
        <v>10</v>
      </c>
      <c r="Q14" s="4">
        <v>1</v>
      </c>
      <c r="R14" s="31"/>
      <c r="S14" s="26">
        <v>31.73</v>
      </c>
      <c r="T14" s="26"/>
      <c r="U14" s="24">
        <v>32.82</v>
      </c>
      <c r="V14" s="24"/>
      <c r="W14" s="24"/>
      <c r="X14" s="24"/>
      <c r="Y14" s="7"/>
      <c r="Z14" s="7"/>
      <c r="AA14" s="7"/>
      <c r="AB14" s="7"/>
      <c r="AC14" s="7"/>
      <c r="AD14" s="7"/>
      <c r="AE14" s="7">
        <v>60</v>
      </c>
      <c r="AF14" s="14" t="s">
        <v>5</v>
      </c>
      <c r="AG14" s="10">
        <f>AVERAGE(U14:W14)</f>
        <v>32.82</v>
      </c>
    </row>
    <row r="15" spans="2:33" x14ac:dyDescent="0.55000000000000004">
      <c r="B15" s="3">
        <v>2</v>
      </c>
      <c r="C15" s="21">
        <v>90</v>
      </c>
      <c r="D15" s="21">
        <v>60</v>
      </c>
      <c r="E15" s="6"/>
      <c r="F15" s="6"/>
      <c r="G15" s="6"/>
      <c r="H15" s="6"/>
      <c r="I15" s="6"/>
      <c r="J15" s="6"/>
      <c r="K15" s="6"/>
      <c r="L15" s="6"/>
      <c r="M15" s="6">
        <v>120</v>
      </c>
      <c r="N15" s="12" t="s">
        <v>5</v>
      </c>
      <c r="O15" s="13">
        <f t="shared" ref="O15:O21" si="1">AVERAGE(C15:E15)</f>
        <v>75</v>
      </c>
      <c r="Q15" s="3">
        <v>2</v>
      </c>
      <c r="R15" s="32"/>
      <c r="S15" s="25">
        <v>48.21</v>
      </c>
      <c r="T15" s="25"/>
      <c r="U15" s="25">
        <v>47.87</v>
      </c>
      <c r="V15" s="25"/>
      <c r="W15" s="25"/>
      <c r="X15" s="25"/>
      <c r="Y15" s="6"/>
      <c r="Z15" s="6"/>
      <c r="AA15" s="6"/>
      <c r="AB15" s="6"/>
      <c r="AC15" s="6"/>
      <c r="AD15" s="6"/>
      <c r="AE15" s="6"/>
      <c r="AF15" s="12" t="s">
        <v>5</v>
      </c>
      <c r="AG15" s="13">
        <f>AVERAGE(S15:W15)</f>
        <v>48.04</v>
      </c>
    </row>
    <row r="16" spans="2:33" x14ac:dyDescent="0.55000000000000004">
      <c r="B16" s="3">
        <v>3</v>
      </c>
      <c r="C16" s="21">
        <v>30</v>
      </c>
      <c r="D16" s="21">
        <v>30</v>
      </c>
      <c r="E16" s="6"/>
      <c r="F16" s="6"/>
      <c r="G16" s="6"/>
      <c r="H16" s="6"/>
      <c r="I16" s="6"/>
      <c r="J16" s="6"/>
      <c r="K16" s="6"/>
      <c r="L16" s="6"/>
      <c r="M16" s="6">
        <v>60</v>
      </c>
      <c r="N16" s="12" t="s">
        <v>5</v>
      </c>
      <c r="O16" s="13">
        <f t="shared" si="1"/>
        <v>30</v>
      </c>
      <c r="Q16" s="3">
        <v>3</v>
      </c>
      <c r="R16" s="32"/>
      <c r="S16" s="25">
        <v>61.98</v>
      </c>
      <c r="T16" s="25"/>
      <c r="U16" s="25">
        <v>53.54</v>
      </c>
      <c r="V16" s="25"/>
      <c r="W16" s="25"/>
      <c r="X16" s="25"/>
      <c r="Y16" s="6"/>
      <c r="Z16" s="6"/>
      <c r="AA16" s="6"/>
      <c r="AB16" s="6"/>
      <c r="AC16" s="6"/>
      <c r="AD16" s="6"/>
      <c r="AE16" s="6"/>
      <c r="AF16" s="12" t="s">
        <v>5</v>
      </c>
      <c r="AG16" s="13">
        <f>AVERAGE(S16:W16)</f>
        <v>57.76</v>
      </c>
    </row>
    <row r="17" spans="2:33" x14ac:dyDescent="0.55000000000000004">
      <c r="B17" s="3">
        <v>4</v>
      </c>
      <c r="C17" s="21">
        <v>0</v>
      </c>
      <c r="D17" s="21">
        <v>30</v>
      </c>
      <c r="E17" s="6"/>
      <c r="F17" s="6"/>
      <c r="G17" s="6"/>
      <c r="H17" s="6"/>
      <c r="I17" s="6"/>
      <c r="J17" s="6"/>
      <c r="K17" s="6"/>
      <c r="L17" s="6"/>
      <c r="M17" s="6">
        <v>30</v>
      </c>
      <c r="N17" s="12" t="s">
        <v>5</v>
      </c>
      <c r="O17" s="13">
        <f t="shared" si="1"/>
        <v>15</v>
      </c>
      <c r="Q17" s="3">
        <v>4</v>
      </c>
      <c r="R17" s="32"/>
      <c r="S17" s="25">
        <v>25.09</v>
      </c>
      <c r="T17" s="25"/>
      <c r="U17" s="25">
        <v>23.33</v>
      </c>
      <c r="V17" s="25"/>
      <c r="W17" s="25"/>
      <c r="X17" s="25"/>
      <c r="Y17" s="6"/>
      <c r="Z17" s="6"/>
      <c r="AA17" s="6"/>
      <c r="AB17" s="6"/>
      <c r="AC17" s="6"/>
      <c r="AD17" s="6"/>
      <c r="AE17" s="6">
        <v>60</v>
      </c>
      <c r="AF17" s="12" t="s">
        <v>5</v>
      </c>
      <c r="AG17" s="13">
        <f>AVERAGE(S17:W17)</f>
        <v>24.21</v>
      </c>
    </row>
    <row r="18" spans="2:33" x14ac:dyDescent="0.55000000000000004">
      <c r="B18" s="3">
        <v>5</v>
      </c>
      <c r="C18" s="21">
        <v>20</v>
      </c>
      <c r="D18" s="21">
        <v>30</v>
      </c>
      <c r="E18" s="6"/>
      <c r="F18" s="6"/>
      <c r="G18" s="6"/>
      <c r="H18" s="6"/>
      <c r="I18" s="6"/>
      <c r="J18" s="6"/>
      <c r="K18" s="6"/>
      <c r="L18" s="6"/>
      <c r="M18" s="6">
        <v>100</v>
      </c>
      <c r="N18" s="12" t="s">
        <v>5</v>
      </c>
      <c r="O18" s="13">
        <f t="shared" si="1"/>
        <v>25</v>
      </c>
      <c r="Q18" s="3">
        <v>5</v>
      </c>
      <c r="R18" s="32"/>
      <c r="S18" s="25">
        <v>18.05</v>
      </c>
      <c r="T18" s="25"/>
      <c r="U18" s="25">
        <v>20.22</v>
      </c>
      <c r="V18" s="25"/>
      <c r="W18" s="25"/>
      <c r="X18" s="25"/>
      <c r="Y18" s="6"/>
      <c r="Z18" s="6"/>
      <c r="AA18" s="6"/>
      <c r="AB18" s="6"/>
      <c r="AC18" s="6"/>
      <c r="AD18" s="6"/>
      <c r="AE18" s="6"/>
      <c r="AF18" s="12" t="s">
        <v>5</v>
      </c>
      <c r="AG18" s="13">
        <f>AVERAGE(S18:W18)</f>
        <v>19.134999999999998</v>
      </c>
    </row>
    <row r="19" spans="2:33" x14ac:dyDescent="0.55000000000000004">
      <c r="B19" s="3">
        <v>6</v>
      </c>
      <c r="C19" s="6" t="s">
        <v>9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6" t="s">
        <v>9</v>
      </c>
      <c r="K19" s="6" t="s">
        <v>9</v>
      </c>
      <c r="L19" s="6" t="s">
        <v>9</v>
      </c>
      <c r="M19" s="6" t="s">
        <v>9</v>
      </c>
      <c r="N19" s="12" t="s">
        <v>5</v>
      </c>
      <c r="O19" s="13" t="e">
        <f t="shared" si="1"/>
        <v>#DIV/0!</v>
      </c>
      <c r="Q19" s="3">
        <v>6</v>
      </c>
      <c r="R19" s="32"/>
      <c r="S19" s="6" t="s">
        <v>9</v>
      </c>
      <c r="T19" s="6"/>
      <c r="U19" s="6" t="s">
        <v>9</v>
      </c>
      <c r="V19" s="6"/>
      <c r="W19" s="6" t="s">
        <v>9</v>
      </c>
      <c r="X19" s="6" t="s">
        <v>9</v>
      </c>
      <c r="Y19" s="6"/>
      <c r="Z19" s="6"/>
      <c r="AA19" s="6"/>
      <c r="AB19" s="6"/>
      <c r="AC19" s="6"/>
      <c r="AD19" s="6"/>
      <c r="AE19" s="6"/>
      <c r="AF19" s="12" t="s">
        <v>5</v>
      </c>
      <c r="AG19" s="13" t="e">
        <f>AVERAGE(S19:W19)</f>
        <v>#DIV/0!</v>
      </c>
    </row>
    <row r="20" spans="2:33" ht="14.7" thickBot="1" x14ac:dyDescent="0.6">
      <c r="B20" s="8">
        <v>7</v>
      </c>
      <c r="C20" s="9" t="s">
        <v>9</v>
      </c>
      <c r="D20" s="9" t="s">
        <v>9</v>
      </c>
      <c r="E20" s="9" t="s">
        <v>9</v>
      </c>
      <c r="F20" s="9" t="s">
        <v>9</v>
      </c>
      <c r="G20" s="9" t="s">
        <v>9</v>
      </c>
      <c r="H20" s="9" t="s">
        <v>9</v>
      </c>
      <c r="I20" s="9" t="s">
        <v>9</v>
      </c>
      <c r="J20" s="9" t="s">
        <v>9</v>
      </c>
      <c r="K20" s="9" t="s">
        <v>9</v>
      </c>
      <c r="L20" s="9" t="s">
        <v>9</v>
      </c>
      <c r="M20" s="9" t="s">
        <v>9</v>
      </c>
      <c r="N20" s="15" t="s">
        <v>5</v>
      </c>
      <c r="O20" s="16" t="e">
        <f t="shared" si="1"/>
        <v>#DIV/0!</v>
      </c>
      <c r="Q20" s="8">
        <v>7</v>
      </c>
      <c r="R20" s="33"/>
      <c r="S20" s="9" t="s">
        <v>9</v>
      </c>
      <c r="T20" s="9"/>
      <c r="U20" s="9" t="s">
        <v>9</v>
      </c>
      <c r="V20" s="9"/>
      <c r="W20" s="9" t="s">
        <v>9</v>
      </c>
      <c r="X20" s="9" t="s">
        <v>9</v>
      </c>
      <c r="Y20" s="9"/>
      <c r="Z20" s="9"/>
      <c r="AA20" s="9"/>
      <c r="AB20" s="9"/>
      <c r="AC20" s="9"/>
      <c r="AD20" s="9"/>
      <c r="AE20" s="9"/>
      <c r="AF20" s="15" t="s">
        <v>5</v>
      </c>
      <c r="AG20" s="16" t="e">
        <f>AVERAGE(S20:W20)</f>
        <v>#DIV/0!</v>
      </c>
    </row>
    <row r="21" spans="2:33" ht="14.7" thickBot="1" x14ac:dyDescent="0.6">
      <c r="B21" s="5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 t="s">
        <v>5</v>
      </c>
      <c r="O21" s="18" t="e">
        <f t="shared" si="1"/>
        <v>#DIV/0!</v>
      </c>
      <c r="Q21" s="5" t="s">
        <v>3</v>
      </c>
      <c r="R21" s="30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7" t="s">
        <v>5</v>
      </c>
      <c r="AG21" s="18" t="e">
        <f>AVERAGE(S21:W21)</f>
        <v>#DIV/0!</v>
      </c>
    </row>
    <row r="23" spans="2:33" ht="14.7" thickBot="1" x14ac:dyDescent="0.6">
      <c r="B23" t="s">
        <v>10</v>
      </c>
      <c r="D23" s="11">
        <v>46040</v>
      </c>
    </row>
    <row r="24" spans="2:33" ht="14.7" thickBot="1" x14ac:dyDescent="0.6">
      <c r="B24" s="5" t="s">
        <v>0</v>
      </c>
      <c r="C24" s="1">
        <v>1</v>
      </c>
      <c r="D24" s="1">
        <v>2</v>
      </c>
      <c r="E24" s="1">
        <v>3</v>
      </c>
      <c r="F24" s="1">
        <v>4</v>
      </c>
      <c r="G24" s="1">
        <v>5</v>
      </c>
      <c r="H24" s="1">
        <v>6</v>
      </c>
      <c r="I24" s="1">
        <v>7</v>
      </c>
      <c r="J24" s="1">
        <v>8</v>
      </c>
      <c r="K24" s="1">
        <v>9</v>
      </c>
      <c r="L24" s="1">
        <v>10</v>
      </c>
      <c r="M24" s="1" t="s">
        <v>4</v>
      </c>
      <c r="N24" s="1" t="s">
        <v>1</v>
      </c>
      <c r="O24" s="2" t="s">
        <v>2</v>
      </c>
      <c r="Q24" s="5" t="s">
        <v>0</v>
      </c>
      <c r="R24" s="30"/>
      <c r="S24" s="1">
        <v>1</v>
      </c>
      <c r="T24" s="1"/>
      <c r="U24" s="1">
        <v>2</v>
      </c>
      <c r="V24" s="1"/>
      <c r="W24" s="1">
        <v>3</v>
      </c>
      <c r="X24" s="1">
        <v>4</v>
      </c>
      <c r="Y24" s="1">
        <v>5</v>
      </c>
      <c r="Z24" s="1">
        <v>6</v>
      </c>
      <c r="AA24" s="1">
        <v>7</v>
      </c>
      <c r="AB24" s="1">
        <v>8</v>
      </c>
      <c r="AC24" s="1">
        <v>9</v>
      </c>
      <c r="AD24" s="1">
        <v>10</v>
      </c>
      <c r="AE24" s="1" t="s">
        <v>4</v>
      </c>
      <c r="AF24" s="1" t="s">
        <v>1</v>
      </c>
      <c r="AG24" s="2" t="s">
        <v>2</v>
      </c>
    </row>
    <row r="25" spans="2:33" x14ac:dyDescent="0.55000000000000004">
      <c r="B25" s="4">
        <v>1</v>
      </c>
      <c r="C25">
        <v>10</v>
      </c>
      <c r="D25">
        <v>10</v>
      </c>
      <c r="E25" s="7">
        <v>60</v>
      </c>
      <c r="F25" s="7">
        <v>50</v>
      </c>
      <c r="G25" s="7">
        <v>50</v>
      </c>
      <c r="H25" s="7"/>
      <c r="I25" s="7"/>
      <c r="J25" s="7"/>
      <c r="K25" s="7"/>
      <c r="L25" s="7"/>
      <c r="M25" s="7">
        <v>60</v>
      </c>
      <c r="N25" s="14" t="s">
        <v>5</v>
      </c>
      <c r="O25" s="10">
        <f>AVERAGE(D25:E25)</f>
        <v>35</v>
      </c>
      <c r="P25" s="28">
        <f>M25-O25</f>
        <v>25</v>
      </c>
      <c r="Q25" s="4">
        <v>1</v>
      </c>
      <c r="R25" s="31"/>
      <c r="S25" s="23">
        <v>31.58</v>
      </c>
      <c r="T25" s="23"/>
      <c r="U25" s="23">
        <v>30.2</v>
      </c>
      <c r="V25" s="23"/>
      <c r="W25" s="7">
        <v>39.659999999999997</v>
      </c>
      <c r="X25" s="7">
        <v>31.13</v>
      </c>
      <c r="Y25" s="7">
        <v>35.4</v>
      </c>
      <c r="Z25" s="7"/>
      <c r="AA25" s="7"/>
      <c r="AB25" s="7"/>
      <c r="AC25" s="7"/>
      <c r="AD25" s="7"/>
      <c r="AE25" s="7">
        <v>60</v>
      </c>
      <c r="AF25" s="14" t="s">
        <v>5</v>
      </c>
      <c r="AG25" s="10">
        <f>AVERAGE(U25:W25)</f>
        <v>34.93</v>
      </c>
    </row>
    <row r="26" spans="2:33" x14ac:dyDescent="0.55000000000000004">
      <c r="B26" s="3">
        <v>2</v>
      </c>
      <c r="C26">
        <v>90</v>
      </c>
      <c r="D26">
        <v>60</v>
      </c>
      <c r="E26" s="6">
        <v>60</v>
      </c>
      <c r="F26" s="6">
        <v>30</v>
      </c>
      <c r="G26" s="6">
        <v>90</v>
      </c>
      <c r="H26" s="6"/>
      <c r="I26" s="6"/>
      <c r="J26" s="6"/>
      <c r="K26" s="6"/>
      <c r="L26" s="6"/>
      <c r="M26" s="6">
        <v>120</v>
      </c>
      <c r="N26" s="12" t="s">
        <v>5</v>
      </c>
      <c r="O26" s="13">
        <f t="shared" ref="O26:O32" si="2">AVERAGE(C26:E26)</f>
        <v>70</v>
      </c>
      <c r="P26" s="28">
        <f t="shared" ref="P26:P29" si="3">M26-O26</f>
        <v>50</v>
      </c>
      <c r="Q26" s="3">
        <v>2</v>
      </c>
      <c r="R26" s="31"/>
      <c r="S26" s="23">
        <v>42.4</v>
      </c>
      <c r="T26" s="23"/>
      <c r="U26" s="23">
        <v>37.44</v>
      </c>
      <c r="V26" s="23"/>
      <c r="W26" s="6">
        <v>27.12</v>
      </c>
      <c r="X26" s="6">
        <v>27.24</v>
      </c>
      <c r="Y26" s="6">
        <v>25.73</v>
      </c>
      <c r="Z26" s="6"/>
      <c r="AA26" s="6"/>
      <c r="AB26" s="6"/>
      <c r="AC26" s="6"/>
      <c r="AD26" s="6"/>
      <c r="AE26" s="6"/>
      <c r="AF26" s="12" t="s">
        <v>5</v>
      </c>
      <c r="AG26" s="13">
        <f>AVERAGE(S26:W26)</f>
        <v>35.653333333333336</v>
      </c>
    </row>
    <row r="27" spans="2:33" x14ac:dyDescent="0.55000000000000004">
      <c r="B27" s="3">
        <v>3</v>
      </c>
      <c r="C27">
        <v>0</v>
      </c>
      <c r="D27">
        <v>60</v>
      </c>
      <c r="E27" s="6">
        <v>0</v>
      </c>
      <c r="F27" s="6">
        <v>0</v>
      </c>
      <c r="G27" s="6">
        <v>60</v>
      </c>
      <c r="H27" s="6"/>
      <c r="I27" s="6"/>
      <c r="J27" s="6"/>
      <c r="K27" s="6"/>
      <c r="L27" s="6"/>
      <c r="M27" s="6">
        <v>60</v>
      </c>
      <c r="N27" s="12" t="s">
        <v>5</v>
      </c>
      <c r="O27" s="13">
        <f t="shared" si="2"/>
        <v>20</v>
      </c>
      <c r="P27" s="28">
        <f t="shared" si="3"/>
        <v>40</v>
      </c>
      <c r="Q27" s="3">
        <v>3</v>
      </c>
      <c r="R27" s="31"/>
      <c r="S27" s="23">
        <v>37.42</v>
      </c>
      <c r="T27" s="23"/>
      <c r="U27" s="23">
        <v>39.729999999999997</v>
      </c>
      <c r="V27" s="23"/>
      <c r="W27" s="6">
        <v>38.46</v>
      </c>
      <c r="X27" s="6">
        <v>43.48</v>
      </c>
      <c r="Y27" s="6">
        <v>36.130000000000003</v>
      </c>
      <c r="Z27" s="6"/>
      <c r="AA27" s="6"/>
      <c r="AB27" s="6"/>
      <c r="AC27" s="6"/>
      <c r="AD27" s="6"/>
      <c r="AE27" s="6"/>
      <c r="AF27" s="12" t="s">
        <v>5</v>
      </c>
      <c r="AG27" s="13">
        <f>AVERAGE(S27:W27)</f>
        <v>38.536666666666669</v>
      </c>
    </row>
    <row r="28" spans="2:33" x14ac:dyDescent="0.55000000000000004">
      <c r="B28" s="3">
        <v>4</v>
      </c>
      <c r="C28">
        <v>20</v>
      </c>
      <c r="D28">
        <v>20</v>
      </c>
      <c r="E28" s="6">
        <v>30</v>
      </c>
      <c r="F28" s="6">
        <v>30</v>
      </c>
      <c r="G28" s="6">
        <v>20</v>
      </c>
      <c r="H28" s="6"/>
      <c r="I28" s="6"/>
      <c r="J28" s="6"/>
      <c r="K28" s="6"/>
      <c r="L28" s="6"/>
      <c r="M28" s="6">
        <v>30</v>
      </c>
      <c r="N28" s="12" t="s">
        <v>5</v>
      </c>
      <c r="O28" s="13">
        <f t="shared" si="2"/>
        <v>23.333333333333332</v>
      </c>
      <c r="P28" s="28">
        <f t="shared" si="3"/>
        <v>6.6666666666666679</v>
      </c>
      <c r="Q28" s="3">
        <v>4</v>
      </c>
      <c r="R28" s="31"/>
      <c r="S28" s="23">
        <v>31.58</v>
      </c>
      <c r="T28" s="23"/>
      <c r="U28" s="23">
        <v>26.84</v>
      </c>
      <c r="V28" s="23"/>
      <c r="W28" s="6">
        <v>23.75</v>
      </c>
      <c r="X28" s="6">
        <v>38.92</v>
      </c>
      <c r="Y28" s="6">
        <v>25.52</v>
      </c>
      <c r="Z28" s="6"/>
      <c r="AA28" s="6"/>
      <c r="AB28" s="6"/>
      <c r="AC28" s="6"/>
      <c r="AD28" s="6"/>
      <c r="AE28" s="6">
        <v>60</v>
      </c>
      <c r="AF28" s="12" t="s">
        <v>5</v>
      </c>
      <c r="AG28" s="13">
        <f>AVERAGE(S28:W28)</f>
        <v>27.39</v>
      </c>
    </row>
    <row r="29" spans="2:33" ht="14.7" thickBot="1" x14ac:dyDescent="0.6">
      <c r="B29" s="3">
        <v>5</v>
      </c>
      <c r="C29" s="19">
        <v>90</v>
      </c>
      <c r="D29" s="19">
        <v>60</v>
      </c>
      <c r="E29" s="6">
        <v>70</v>
      </c>
      <c r="F29" s="6">
        <v>70</v>
      </c>
      <c r="G29" s="6">
        <v>20</v>
      </c>
      <c r="H29" s="6"/>
      <c r="I29" s="6"/>
      <c r="J29" s="6"/>
      <c r="K29" s="6"/>
      <c r="L29" s="6"/>
      <c r="M29" s="6">
        <v>100</v>
      </c>
      <c r="N29" s="12" t="s">
        <v>5</v>
      </c>
      <c r="O29" s="13">
        <f t="shared" si="2"/>
        <v>73.333333333333329</v>
      </c>
      <c r="P29" s="28">
        <f t="shared" si="3"/>
        <v>26.666666666666671</v>
      </c>
      <c r="Q29" s="3">
        <v>5</v>
      </c>
      <c r="R29" s="31"/>
      <c r="S29" s="27">
        <v>27.2</v>
      </c>
      <c r="T29" s="27"/>
      <c r="U29" s="27">
        <v>34.5</v>
      </c>
      <c r="V29" s="29"/>
      <c r="W29" s="6">
        <v>34.770000000000003</v>
      </c>
      <c r="X29" s="6">
        <v>18.579999999999998</v>
      </c>
      <c r="Y29" s="6">
        <v>30.86</v>
      </c>
      <c r="Z29" s="6"/>
      <c r="AA29" s="6"/>
      <c r="AB29" s="6"/>
      <c r="AC29" s="6"/>
      <c r="AD29" s="6"/>
      <c r="AE29" s="6"/>
      <c r="AF29" s="12" t="s">
        <v>5</v>
      </c>
      <c r="AG29" s="13">
        <f>AVERAGE(S29:W29)</f>
        <v>32.156666666666666</v>
      </c>
    </row>
    <row r="30" spans="2:33" x14ac:dyDescent="0.55000000000000004">
      <c r="B30" s="3">
        <v>6</v>
      </c>
      <c r="C30" s="6" t="s">
        <v>9</v>
      </c>
      <c r="D30" s="6" t="s">
        <v>9</v>
      </c>
      <c r="E30" s="6" t="s">
        <v>9</v>
      </c>
      <c r="F30" s="6" t="s">
        <v>9</v>
      </c>
      <c r="G30" s="6" t="s">
        <v>9</v>
      </c>
      <c r="H30" s="6" t="s">
        <v>9</v>
      </c>
      <c r="I30" s="6" t="s">
        <v>9</v>
      </c>
      <c r="J30" s="6" t="s">
        <v>9</v>
      </c>
      <c r="K30" s="6" t="s">
        <v>9</v>
      </c>
      <c r="L30" s="6" t="s">
        <v>9</v>
      </c>
      <c r="M30" s="6" t="s">
        <v>9</v>
      </c>
      <c r="N30" s="12" t="s">
        <v>5</v>
      </c>
      <c r="O30" s="13" t="e">
        <f t="shared" si="2"/>
        <v>#DIV/0!</v>
      </c>
      <c r="Q30" s="3">
        <v>6</v>
      </c>
      <c r="R30" s="32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12" t="s">
        <v>5</v>
      </c>
      <c r="AG30" s="13" t="e">
        <f>AVERAGE(S30:W30)</f>
        <v>#DIV/0!</v>
      </c>
    </row>
    <row r="31" spans="2:33" ht="14.7" thickBot="1" x14ac:dyDescent="0.6">
      <c r="B31" s="8">
        <v>7</v>
      </c>
      <c r="C31" s="6" t="s">
        <v>9</v>
      </c>
      <c r="D31" s="6" t="s">
        <v>9</v>
      </c>
      <c r="E31" s="6" t="s">
        <v>9</v>
      </c>
      <c r="F31" s="6" t="s">
        <v>9</v>
      </c>
      <c r="G31" s="6" t="s">
        <v>9</v>
      </c>
      <c r="H31" s="6" t="s">
        <v>9</v>
      </c>
      <c r="I31" s="6" t="s">
        <v>9</v>
      </c>
      <c r="J31" s="6" t="s">
        <v>9</v>
      </c>
      <c r="K31" s="6" t="s">
        <v>9</v>
      </c>
      <c r="L31" s="6" t="s">
        <v>9</v>
      </c>
      <c r="M31" s="6" t="s">
        <v>9</v>
      </c>
      <c r="N31" s="15" t="s">
        <v>5</v>
      </c>
      <c r="O31" s="16" t="e">
        <f t="shared" si="2"/>
        <v>#DIV/0!</v>
      </c>
      <c r="Q31" s="8">
        <v>7</v>
      </c>
      <c r="R31" s="33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5" t="s">
        <v>5</v>
      </c>
      <c r="AG31" s="16" t="e">
        <f>AVERAGE(S31:W31)</f>
        <v>#DIV/0!</v>
      </c>
    </row>
    <row r="32" spans="2:33" ht="14.7" thickBot="1" x14ac:dyDescent="0.6">
      <c r="B32" s="5" t="s">
        <v>3</v>
      </c>
      <c r="C32" s="1"/>
      <c r="D32" s="1"/>
      <c r="E32" s="1">
        <v>70</v>
      </c>
      <c r="F32" s="1">
        <v>70</v>
      </c>
      <c r="G32" s="1">
        <v>70</v>
      </c>
      <c r="H32" s="1"/>
      <c r="I32" s="1"/>
      <c r="J32" s="1"/>
      <c r="K32" s="1"/>
      <c r="L32" s="1"/>
      <c r="M32" s="1"/>
      <c r="N32" s="17" t="s">
        <v>5</v>
      </c>
      <c r="O32" s="18">
        <f t="shared" si="2"/>
        <v>70</v>
      </c>
      <c r="Q32" s="5" t="s">
        <v>3</v>
      </c>
      <c r="R32" s="30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7" t="s">
        <v>5</v>
      </c>
      <c r="AG32" s="18" t="e">
        <f>AVERAGE(S32:W32)</f>
        <v>#DIV/0!</v>
      </c>
    </row>
    <row r="34" spans="2:33" ht="14.7" thickBot="1" x14ac:dyDescent="0.6">
      <c r="B34" s="11">
        <v>46041</v>
      </c>
    </row>
    <row r="35" spans="2:33" ht="14.7" thickBot="1" x14ac:dyDescent="0.6">
      <c r="B35" s="5" t="s">
        <v>0</v>
      </c>
      <c r="C35" s="1">
        <v>1</v>
      </c>
      <c r="D35" s="1">
        <v>2</v>
      </c>
      <c r="E35" s="1">
        <v>3</v>
      </c>
      <c r="F35" s="1">
        <v>4</v>
      </c>
      <c r="G35" s="1">
        <v>5</v>
      </c>
      <c r="H35" s="1">
        <v>6</v>
      </c>
      <c r="I35" s="1">
        <v>7</v>
      </c>
      <c r="J35" s="1">
        <v>8</v>
      </c>
      <c r="K35" s="1">
        <v>9</v>
      </c>
      <c r="L35" s="1">
        <v>10</v>
      </c>
      <c r="M35" s="1" t="s">
        <v>4</v>
      </c>
      <c r="N35" s="1" t="s">
        <v>1</v>
      </c>
      <c r="O35" s="2" t="s">
        <v>2</v>
      </c>
      <c r="Q35" s="5" t="s">
        <v>0</v>
      </c>
      <c r="R35" s="30"/>
      <c r="S35" s="1">
        <v>1</v>
      </c>
      <c r="T35" s="1" t="s">
        <v>12</v>
      </c>
      <c r="U35" s="1">
        <v>2</v>
      </c>
      <c r="V35" s="1" t="s">
        <v>11</v>
      </c>
      <c r="W35" s="1">
        <v>3</v>
      </c>
      <c r="X35" s="1">
        <v>4</v>
      </c>
      <c r="Y35" s="1">
        <v>5</v>
      </c>
      <c r="Z35" s="1">
        <v>6</v>
      </c>
      <c r="AA35" s="1">
        <v>7</v>
      </c>
      <c r="AB35" s="1">
        <v>8</v>
      </c>
      <c r="AC35" s="1">
        <v>9</v>
      </c>
      <c r="AD35" s="1">
        <v>10</v>
      </c>
      <c r="AE35" s="1" t="s">
        <v>4</v>
      </c>
      <c r="AF35" s="1" t="s">
        <v>1</v>
      </c>
      <c r="AG35" s="2" t="s">
        <v>2</v>
      </c>
    </row>
    <row r="36" spans="2:33" x14ac:dyDescent="0.55000000000000004">
      <c r="B36" s="4">
        <v>1</v>
      </c>
      <c r="C36" s="34">
        <v>50</v>
      </c>
      <c r="D36" s="7">
        <v>10</v>
      </c>
      <c r="E36" s="7">
        <v>50</v>
      </c>
      <c r="F36" s="7"/>
      <c r="G36" s="7"/>
      <c r="H36" s="7"/>
      <c r="I36" s="7"/>
      <c r="J36" s="7"/>
      <c r="K36" s="7"/>
      <c r="L36" s="7"/>
      <c r="M36" s="7">
        <v>60</v>
      </c>
      <c r="N36" s="14" t="s">
        <v>5</v>
      </c>
      <c r="O36" s="10">
        <f>AVERAGE(C36:E36)</f>
        <v>36.666666666666664</v>
      </c>
      <c r="Q36" s="4">
        <v>1</v>
      </c>
      <c r="R36" s="31"/>
      <c r="S36" s="34">
        <v>30.28</v>
      </c>
      <c r="T36" s="6">
        <v>19.18</v>
      </c>
      <c r="U36" s="7">
        <v>19.8</v>
      </c>
      <c r="V36" s="6">
        <v>18.27</v>
      </c>
      <c r="W36" s="7">
        <v>27.88</v>
      </c>
      <c r="X36" s="7">
        <v>18.63</v>
      </c>
      <c r="Y36" s="7"/>
      <c r="Z36" s="7"/>
      <c r="AA36" s="7"/>
      <c r="AB36" s="7"/>
      <c r="AC36" s="7"/>
      <c r="AD36" s="7"/>
      <c r="AE36" s="7">
        <v>60</v>
      </c>
      <c r="AF36" s="14" t="s">
        <v>5</v>
      </c>
      <c r="AG36" s="10">
        <f>AVERAGE(S36:W36)</f>
        <v>23.082000000000001</v>
      </c>
    </row>
    <row r="37" spans="2:33" x14ac:dyDescent="0.55000000000000004">
      <c r="B37" s="3">
        <v>2</v>
      </c>
      <c r="C37" s="6">
        <v>90</v>
      </c>
      <c r="D37" s="6">
        <v>60</v>
      </c>
      <c r="E37" s="6">
        <v>30</v>
      </c>
      <c r="F37" s="6"/>
      <c r="G37" s="6"/>
      <c r="H37" s="6"/>
      <c r="I37" s="6"/>
      <c r="J37" s="6"/>
      <c r="K37" s="6"/>
      <c r="L37" s="6"/>
      <c r="M37" s="6">
        <v>120</v>
      </c>
      <c r="N37" s="12" t="s">
        <v>5</v>
      </c>
      <c r="O37" s="13">
        <f t="shared" ref="O37:O41" si="4">AVERAGE(C37:E37)</f>
        <v>60</v>
      </c>
      <c r="Q37" s="3">
        <v>2</v>
      </c>
      <c r="R37" s="32"/>
      <c r="S37" s="6">
        <v>13.91</v>
      </c>
      <c r="T37" s="6">
        <v>11.98</v>
      </c>
      <c r="U37" s="6">
        <v>14.23</v>
      </c>
      <c r="V37" s="35">
        <v>14.26</v>
      </c>
      <c r="W37" s="6">
        <v>10.8</v>
      </c>
      <c r="X37" s="6">
        <v>11.46</v>
      </c>
      <c r="Y37" s="6"/>
      <c r="Z37" s="6"/>
      <c r="AA37" s="6"/>
      <c r="AB37" s="6"/>
      <c r="AC37" s="6"/>
      <c r="AD37" s="6"/>
      <c r="AE37" s="6"/>
      <c r="AF37" s="12" t="s">
        <v>5</v>
      </c>
      <c r="AG37" s="13">
        <f t="shared" ref="AG37:AG42" si="5">AVERAGE(S37:W37)</f>
        <v>13.036000000000001</v>
      </c>
    </row>
    <row r="38" spans="2:33" x14ac:dyDescent="0.55000000000000004">
      <c r="B38" s="3">
        <v>3</v>
      </c>
      <c r="C38" s="6">
        <v>30</v>
      </c>
      <c r="D38" s="6">
        <v>30</v>
      </c>
      <c r="E38" s="6">
        <v>30</v>
      </c>
      <c r="F38" s="6"/>
      <c r="G38" s="6"/>
      <c r="H38" s="6"/>
      <c r="I38" s="6"/>
      <c r="J38" s="6"/>
      <c r="K38" s="6"/>
      <c r="L38" s="6"/>
      <c r="M38" s="6">
        <v>60</v>
      </c>
      <c r="N38" s="12" t="s">
        <v>5</v>
      </c>
      <c r="O38" s="13">
        <f t="shared" si="4"/>
        <v>30</v>
      </c>
      <c r="Q38" s="3">
        <v>3</v>
      </c>
      <c r="R38" s="32"/>
      <c r="S38" s="6">
        <v>22.95</v>
      </c>
      <c r="T38" s="6">
        <v>17.75</v>
      </c>
      <c r="U38" s="6">
        <v>21.5</v>
      </c>
      <c r="V38" s="6">
        <v>17.5</v>
      </c>
      <c r="W38" s="6">
        <v>24.08</v>
      </c>
      <c r="X38" s="6">
        <v>20.170000000000002</v>
      </c>
      <c r="Y38" s="6"/>
      <c r="Z38" s="6"/>
      <c r="AA38" s="6"/>
      <c r="AB38" s="6"/>
      <c r="AC38" s="6"/>
      <c r="AD38" s="6"/>
      <c r="AE38" s="6"/>
      <c r="AF38" s="12" t="s">
        <v>5</v>
      </c>
      <c r="AG38" s="13">
        <f t="shared" si="5"/>
        <v>20.756</v>
      </c>
    </row>
    <row r="39" spans="2:33" x14ac:dyDescent="0.55000000000000004">
      <c r="B39" s="3">
        <v>4</v>
      </c>
      <c r="C39" s="6">
        <v>20</v>
      </c>
      <c r="D39" s="6">
        <v>30</v>
      </c>
      <c r="E39" s="6">
        <v>30</v>
      </c>
      <c r="F39" s="6"/>
      <c r="G39" s="6"/>
      <c r="H39" s="6"/>
      <c r="I39" s="6"/>
      <c r="J39" s="6"/>
      <c r="K39" s="6"/>
      <c r="L39" s="6"/>
      <c r="M39" s="6">
        <v>30</v>
      </c>
      <c r="N39" s="12" t="s">
        <v>5</v>
      </c>
      <c r="O39" s="13">
        <f t="shared" si="4"/>
        <v>26.666666666666668</v>
      </c>
      <c r="Q39" s="3">
        <v>4</v>
      </c>
      <c r="R39" s="32"/>
      <c r="S39" s="6">
        <v>9.01</v>
      </c>
      <c r="T39" s="6">
        <v>12.93</v>
      </c>
      <c r="U39" s="6">
        <v>9.8000000000000007</v>
      </c>
      <c r="V39" s="6">
        <v>8.5</v>
      </c>
      <c r="W39" s="6">
        <v>10.01</v>
      </c>
      <c r="X39" s="6">
        <v>7.68</v>
      </c>
      <c r="Y39" s="6"/>
      <c r="Z39" s="6"/>
      <c r="AA39" s="6"/>
      <c r="AB39" s="6"/>
      <c r="AC39" s="6"/>
      <c r="AD39" s="6"/>
      <c r="AE39" s="6">
        <v>60</v>
      </c>
      <c r="AF39" s="12" t="s">
        <v>5</v>
      </c>
      <c r="AG39" s="13">
        <f t="shared" si="5"/>
        <v>10.049999999999999</v>
      </c>
    </row>
    <row r="40" spans="2:33" x14ac:dyDescent="0.55000000000000004">
      <c r="B40" s="3">
        <v>5</v>
      </c>
      <c r="C40" s="6">
        <v>70</v>
      </c>
      <c r="D40" s="6">
        <v>90</v>
      </c>
      <c r="E40" s="6">
        <v>100</v>
      </c>
      <c r="F40" s="6"/>
      <c r="G40" s="6"/>
      <c r="H40" s="6"/>
      <c r="I40" s="6"/>
      <c r="J40" s="6"/>
      <c r="K40" s="6"/>
      <c r="L40" s="6"/>
      <c r="M40" s="6">
        <v>100</v>
      </c>
      <c r="N40" s="12" t="s">
        <v>5</v>
      </c>
      <c r="O40" s="13">
        <f t="shared" si="4"/>
        <v>86.666666666666671</v>
      </c>
      <c r="Q40" s="3">
        <v>5</v>
      </c>
      <c r="R40" s="32"/>
      <c r="S40" s="6">
        <v>25.22</v>
      </c>
      <c r="T40" s="36">
        <v>0</v>
      </c>
      <c r="U40" s="6">
        <v>27.03</v>
      </c>
      <c r="V40" s="36">
        <v>0</v>
      </c>
      <c r="W40" s="6">
        <v>25.23</v>
      </c>
      <c r="X40" s="6">
        <v>0</v>
      </c>
      <c r="Y40" s="6"/>
      <c r="Z40" s="6"/>
      <c r="AA40" s="6"/>
      <c r="AB40" s="6"/>
      <c r="AC40" s="6"/>
      <c r="AD40" s="6"/>
      <c r="AE40" s="6"/>
      <c r="AF40" s="12" t="s">
        <v>5</v>
      </c>
      <c r="AG40" s="13">
        <f t="shared" si="5"/>
        <v>15.496</v>
      </c>
    </row>
    <row r="41" spans="2:33" ht="14.7" thickBot="1" x14ac:dyDescent="0.6">
      <c r="B41" s="3"/>
      <c r="C41" s="6">
        <v>20</v>
      </c>
      <c r="D41" s="6">
        <v>20</v>
      </c>
      <c r="E41" s="6">
        <v>20</v>
      </c>
      <c r="F41" s="6"/>
      <c r="G41" s="6"/>
      <c r="H41" s="6"/>
      <c r="I41" s="6"/>
      <c r="J41" s="6"/>
      <c r="K41" s="6"/>
      <c r="L41" s="6"/>
      <c r="M41" s="6">
        <v>20</v>
      </c>
      <c r="N41" s="12"/>
      <c r="O41" s="13">
        <f t="shared" si="4"/>
        <v>20</v>
      </c>
      <c r="Q41" s="3"/>
      <c r="R41" s="32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12"/>
      <c r="AG41" s="13"/>
    </row>
    <row r="42" spans="2:33" ht="14.7" thickBot="1" x14ac:dyDescent="0.6">
      <c r="B42" s="5" t="s">
        <v>3</v>
      </c>
      <c r="C42" s="1">
        <v>50</v>
      </c>
      <c r="D42" s="1">
        <v>35</v>
      </c>
      <c r="E42" s="1">
        <v>50</v>
      </c>
      <c r="F42" s="1"/>
      <c r="G42" s="1"/>
      <c r="H42" s="1"/>
      <c r="I42" s="1"/>
      <c r="J42" s="1"/>
      <c r="K42" s="1"/>
      <c r="L42" s="1"/>
      <c r="M42" s="37">
        <v>50</v>
      </c>
      <c r="N42" s="17" t="s">
        <v>5</v>
      </c>
      <c r="O42" s="18">
        <f>AVERAGE(C42:E42)</f>
        <v>45</v>
      </c>
      <c r="Q42" s="5" t="s">
        <v>3</v>
      </c>
      <c r="R42" s="30"/>
      <c r="S42" s="1">
        <f>SUM(S36:S40)</f>
        <v>101.37</v>
      </c>
      <c r="T42" s="1">
        <f>SUM(T36:T40)</f>
        <v>61.839999999999996</v>
      </c>
      <c r="U42" s="1">
        <f t="shared" ref="U42:AD42" si="6">SUM(U36:U40)</f>
        <v>92.36</v>
      </c>
      <c r="V42" s="1">
        <f t="shared" si="6"/>
        <v>58.53</v>
      </c>
      <c r="W42" s="1">
        <f t="shared" si="6"/>
        <v>98</v>
      </c>
      <c r="X42" s="1">
        <f t="shared" si="6"/>
        <v>57.940000000000005</v>
      </c>
      <c r="Y42" s="1">
        <f t="shared" si="6"/>
        <v>0</v>
      </c>
      <c r="Z42" s="1">
        <f t="shared" si="6"/>
        <v>0</v>
      </c>
      <c r="AA42" s="1">
        <f t="shared" si="6"/>
        <v>0</v>
      </c>
      <c r="AB42" s="1">
        <f t="shared" si="6"/>
        <v>0</v>
      </c>
      <c r="AC42" s="1">
        <f t="shared" si="6"/>
        <v>0</v>
      </c>
      <c r="AD42" s="1">
        <f t="shared" si="6"/>
        <v>0</v>
      </c>
      <c r="AF42" s="17" t="s">
        <v>5</v>
      </c>
      <c r="AG42" s="18"/>
    </row>
    <row r="43" spans="2:33" ht="14.7" thickBot="1" x14ac:dyDescent="0.6">
      <c r="C43">
        <f>SUM(C36:C42)</f>
        <v>330</v>
      </c>
      <c r="D43">
        <f t="shared" ref="D43:L43" si="7">SUM(D36:D42)</f>
        <v>275</v>
      </c>
      <c r="E43">
        <f t="shared" si="7"/>
        <v>310</v>
      </c>
      <c r="F43">
        <f t="shared" si="7"/>
        <v>0</v>
      </c>
      <c r="G43">
        <f t="shared" si="7"/>
        <v>0</v>
      </c>
      <c r="H43">
        <f t="shared" si="7"/>
        <v>0</v>
      </c>
      <c r="I43">
        <f t="shared" si="7"/>
        <v>0</v>
      </c>
      <c r="J43">
        <f t="shared" si="7"/>
        <v>0</v>
      </c>
      <c r="K43">
        <f t="shared" si="7"/>
        <v>0</v>
      </c>
      <c r="L43">
        <f t="shared" si="7"/>
        <v>0</v>
      </c>
      <c r="M43" s="34">
        <f>SUM(M36:M42)</f>
        <v>440</v>
      </c>
      <c r="O43" s="38">
        <f>SUM(O36:O42)</f>
        <v>305</v>
      </c>
      <c r="T43">
        <f>SUM(S42:T42)</f>
        <v>163.21</v>
      </c>
      <c r="V43">
        <f>SUM(U42:V42)</f>
        <v>150.88999999999999</v>
      </c>
      <c r="X43">
        <f>SUM(W42:X42)</f>
        <v>155.94</v>
      </c>
      <c r="AE43" s="1">
        <v>150</v>
      </c>
    </row>
  </sheetData>
  <conditionalFormatting sqref="C14:D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G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M3 O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M10 O3:O10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M4 O4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M5 O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M7 O7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M8 O8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M9 O9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M10 C21:M21 O21 O1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M10 O1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M21 O2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M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:M32 O3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M42 O4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5:P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:AE10 AG1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:AE21 AG2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2:AE32 AG3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2:AD42 AE43 AG4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:V18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5:Y29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:M41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BEAFOOD</vt:lpstr>
      <vt:lpstr>BEAFOOD1</vt:lpstr>
      <vt:lpstr>lol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Toh</dc:creator>
  <cp:lastModifiedBy>Aaryav Taparia</cp:lastModifiedBy>
  <dcterms:created xsi:type="dcterms:W3CDTF">2026-01-11T23:03:12Z</dcterms:created>
  <dcterms:modified xsi:type="dcterms:W3CDTF">2026-01-21T02:28:14Z</dcterms:modified>
</cp:coreProperties>
</file>